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roughput" state="visible" r:id="rId4"/>
    <sheet sheetId="2" name="Client revenue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<sst xmlns="http://schemas.openxmlformats.org/spreadsheetml/2006/main" count="40" uniqueCount="36">
  <si>
    <t>Berth</t>
  </si>
  <si>
    <t>Q1 (TEU)</t>
  </si>
  <si>
    <t>Q2 (TEU)</t>
  </si>
  <si>
    <t>Q3 (TEU)</t>
  </si>
  <si>
    <t>Change Q2→Q3</t>
  </si>
  <si>
    <t>Utilisation</t>
  </si>
  <si>
    <t>Berth 4</t>
  </si>
  <si>
    <t>Berth 5</t>
  </si>
  <si>
    <t>Berth 6</t>
  </si>
  <si>
    <t>Berth 7</t>
  </si>
  <si>
    <t>Total</t>
  </si>
  <si>
    <t>Client</t>
  </si>
  <si>
    <t>Q2 (EUR)</t>
  </si>
  <si>
    <t>Q3 (EUR)</t>
  </si>
  <si>
    <t>Share of Q3</t>
  </si>
  <si>
    <t>Contract ends</t>
  </si>
  <si>
    <t>Northbank Shipping</t>
  </si>
  <si>
    <t>2027-03-31</t>
  </si>
  <si>
    <t>Meridian Freight</t>
  </si>
  <si>
    <t>2028-09-30</t>
  </si>
  <si>
    <t>Kestrel Lines</t>
  </si>
  <si>
    <t>2026-12-31</t>
  </si>
  <si>
    <t>Atlas Bulk</t>
  </si>
  <si>
    <t>2027-06-30</t>
  </si>
  <si>
    <t>Others (7)</t>
  </si>
  <si>
    <t>—</t>
  </si>
  <si>
    <t/>
  </si>
  <si>
    <t>Topic</t>
  </si>
  <si>
    <t>Note</t>
  </si>
  <si>
    <t>Crane 2 out of service 14 Aug – 2 Sep for gearbox replacement. Volume was diverted to Berth 6.</t>
  </si>
  <si>
    <t>Dredging completed 8 Jul. Draft now 14.5 m, so post-panamax calls are possible for the first time.</t>
  </si>
  <si>
    <t>Northbank</t>
  </si>
  <si>
    <t>Contract ends 31 Mar 2027. Renewal talks have not started. Largest single client by some margin.</t>
  </si>
  <si>
    <t>Contract ends 31 Dec 2026 — the nearest expiry, and no renewal meeting is scheduled.</t>
  </si>
  <si>
    <t>Headcount</t>
  </si>
  <si>
    <t>Two straddle-carrier operators left in Q3; neither has been replaced.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</si>
</sst>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+0.0%;-0.0%"/>
    <numFmt numFmtId="165" formatCode="#,##0 &quot;€&quot;"/>
    <numFmt numFmtId="166" formatCode="0.0%"/>
  </numFmts>
  <fonts count="3" x14ac:knownFonts="1">
    <font>
      <color theme="1"/>
      <family val="2"/>
      <scheme val="minor"/>
      <sz val="11"/>
      <name val="Calibri"/>
    </font>
    <font>
      <b/>
      <color rgb="FF1B1B5E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2F5B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3" fontId="0" fillId="0" borderId="0" xfId="0" applyNumberFormat="1"/>
    <xf numFmtId="164" fontId="0" fillId="0" borderId="0" xfId="0" applyNumberFormat="1"/>
    <xf numFmtId="9" fontId="0" fillId="0" borderId="0" xfId="0" applyNumberFormat="1"/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9" fontId="2" fillId="0" borderId="0" xfId="0" applyNumberFormat="1" applyFont="1"/>
    <xf numFmtId="165" fontId="0" fillId="0" borderId="0" xfId="0" applyNumberFormat="1"/>
    <xf numFmtId="166" fontId="0" fillId="0" borderId="0" xfId="0" applyNumberFormat="1"/>
    <xf numFmtId="165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6" customWidth="1"/>
    <col min="2" max="4" width="12" customWidth="1"/>
    <col min="5" max="6" width="14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3">
        <v>4820</v>
      </c>
      <c r="C2" s="3">
        <v>5010</v>
      </c>
      <c r="D2" s="3">
        <v>5150</v>
      </c>
      <c r="E2" s="4">
        <v>0.0279</v>
      </c>
      <c r="F2" s="5">
        <v>0.91</v>
      </c>
    </row>
    <row r="3" spans="1:6" x14ac:dyDescent="0.25">
      <c r="A3" t="s">
        <v>7</v>
      </c>
      <c r="B3" s="3">
        <v>3050</v>
      </c>
      <c r="C3" s="3">
        <v>3110</v>
      </c>
      <c r="D3" s="3">
        <v>2740</v>
      </c>
      <c r="E3" s="4">
        <v>-0.119</v>
      </c>
      <c r="F3" s="5">
        <v>0.68</v>
      </c>
    </row>
    <row r="4" spans="1:6" x14ac:dyDescent="0.25">
      <c r="A4" t="s">
        <v>8</v>
      </c>
      <c r="B4" s="3">
        <v>1980</v>
      </c>
      <c r="C4" s="3">
        <v>2240</v>
      </c>
      <c r="D4" s="3">
        <v>3610</v>
      </c>
      <c r="E4" s="4">
        <v>0.6116</v>
      </c>
      <c r="F4" s="5">
        <v>0.86</v>
      </c>
    </row>
    <row r="5" spans="1:6" x14ac:dyDescent="0.25">
      <c r="A5" t="s">
        <v>9</v>
      </c>
      <c r="B5" s="3">
        <v>2410</v>
      </c>
      <c r="C5" s="3">
        <v>2380</v>
      </c>
      <c r="D5" s="3">
        <v>2455</v>
      </c>
      <c r="E5" s="4">
        <v>0.0315</v>
      </c>
      <c r="F5" s="5">
        <v>0.71</v>
      </c>
    </row>
    <row r="7" spans="1:6" s="6" customFormat="1" x14ac:dyDescent="0.25">
      <c r="A7" s="6" t="s">
        <v>10</v>
      </c>
      <c r="B7" s="7">
        <v>12260</v>
      </c>
      <c r="C7" s="7">
        <v>12740</v>
      </c>
      <c r="D7" s="7">
        <v>13955</v>
      </c>
      <c r="E7" s="8">
        <f>(D7-C7)/C7</f>
        <v>0.0954</v>
      </c>
      <c r="F7" s="9">
        <f>AVERAGE(F2:F5)</f>
        <v>0.79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2" customWidth="1"/>
    <col min="2" max="3" width="16" customWidth="1"/>
    <col min="4" max="4" width="14" customWidth="1"/>
    <col min="5" max="5" width="18" customWidth="1"/>
  </cols>
  <sheetData>
    <row r="1" spans="1:5" s="1" customFormat="1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</row>
    <row r="2" spans="1:5" x14ac:dyDescent="0.25">
      <c r="A2" t="s">
        <v>16</v>
      </c>
      <c r="B2" s="10">
        <v>1840000</v>
      </c>
      <c r="C2" s="10">
        <v>2010000</v>
      </c>
      <c r="D2" s="11">
        <v>0.42</v>
      </c>
      <c r="E2" t="s">
        <v>17</v>
      </c>
    </row>
    <row r="3" spans="1:5" x14ac:dyDescent="0.25">
      <c r="A3" t="s">
        <v>18</v>
      </c>
      <c r="B3" s="10">
        <v>980000</v>
      </c>
      <c r="C3" s="10">
        <v>1120000</v>
      </c>
      <c r="D3" s="11">
        <v>0.234</v>
      </c>
      <c r="E3" t="s">
        <v>19</v>
      </c>
    </row>
    <row r="4" spans="1:5" x14ac:dyDescent="0.25">
      <c r="A4" t="s">
        <v>20</v>
      </c>
      <c r="B4" s="10">
        <v>760000</v>
      </c>
      <c r="C4" s="10">
        <v>815000</v>
      </c>
      <c r="D4" s="11">
        <v>0.17</v>
      </c>
      <c r="E4" t="s">
        <v>21</v>
      </c>
    </row>
    <row r="5" spans="1:5" x14ac:dyDescent="0.25">
      <c r="A5" t="s">
        <v>22</v>
      </c>
      <c r="B5" s="10">
        <v>540000</v>
      </c>
      <c r="C5" s="10">
        <v>505000</v>
      </c>
      <c r="D5" s="11">
        <v>0.106</v>
      </c>
      <c r="E5" t="s">
        <v>23</v>
      </c>
    </row>
    <row r="6" spans="1:5" x14ac:dyDescent="0.25">
      <c r="A6" t="s">
        <v>24</v>
      </c>
      <c r="B6" s="10">
        <v>310000</v>
      </c>
      <c r="C6" s="10">
        <v>335000</v>
      </c>
      <c r="D6" s="11">
        <v>0.07</v>
      </c>
      <c r="E6" t="s">
        <v>25</v>
      </c>
    </row>
    <row r="7" spans="1:5" s="6" customFormat="1" x14ac:dyDescent="0.25">
      <c r="A7" s="6" t="s">
        <v>10</v>
      </c>
      <c r="B7" s="12">
        <v>4430000</v>
      </c>
      <c r="C7" s="12">
        <f>SUM(C2:C6)</f>
        <v>4785000</v>
      </c>
      <c r="D7" s="13">
        <v>1</v>
      </c>
      <c r="E7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0" customWidth="1"/>
    <col min="2" max="2" width="82" customWidth="1"/>
  </cols>
  <sheetData>
    <row r="1" spans="1:2" s="1" customFormat="1" x14ac:dyDescent="0.25">
      <c r="A1" s="2" t="s">
        <v>27</v>
      </c>
      <c r="B1" s="2" t="s">
        <v>28</v>
      </c>
    </row>
    <row r="2" spans="1:2" x14ac:dyDescent="0.25">
      <c r="A2" t="s">
        <v>7</v>
      </c>
      <c r="B2" t="s">
        <v>29</v>
      </c>
    </row>
    <row r="3" spans="1:2" x14ac:dyDescent="0.25">
      <c r="A3" t="s">
        <v>8</v>
      </c>
      <c r="B3" t="s">
        <v>30</v>
      </c>
    </row>
    <row r="4" spans="1:2" x14ac:dyDescent="0.25">
      <c r="A4" t="s">
        <v>31</v>
      </c>
      <c r="B4" t="s">
        <v>32</v>
      </c>
    </row>
    <row r="5" spans="1:2" x14ac:dyDescent="0.25">
      <c r="A5" t="s">
        <v>20</v>
      </c>
      <c r="B5" t="s">
        <v>33</v>
      </c>
    </row>
    <row r="6" spans="1:2" x14ac:dyDescent="0.25">
      <c r="A6" t="s">
        <v>34</v>
      </c>
      <c r="B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Throughput</vt:lpstr>
      <vt:lpstr>Client revenue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Workspace OS</dc:creator>
  <dc:title/>
  <dc:subject/>
  <dc:description/>
  <cp:keywords/>
  <cp:category/>
  <cp:lastModifiedBy>Unknown</cp:lastModifiedBy>
  <dcterms:created xsi:type="dcterms:W3CDTF">2026-09-29T22:00:00Z</dcterms:created>
  <dcterms:modified xsi:type="dcterms:W3CDTF">2026-08-17T08:41:37Z</dcterms:modified>
</cp:coreProperties>
</file>